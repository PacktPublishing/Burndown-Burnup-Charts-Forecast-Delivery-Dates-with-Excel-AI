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/>
  <mc:AlternateContent xmlns:mc="http://schemas.openxmlformats.org/markup-compatibility/2006">
    <mc:Choice Requires="x15">
      <x15ac:absPath xmlns:x15ac="http://schemas.microsoft.com/office/spreadsheetml/2010/11/ac" url="/Users/rahulshah/Documents/Udemy/Burndown/"/>
    </mc:Choice>
  </mc:AlternateContent>
  <xr:revisionPtr revIDLastSave="0" documentId="13_ncr:1_{12406016-783A-1043-8A7F-98074B2B175C}" xr6:coauthVersionLast="47" xr6:coauthVersionMax="47" xr10:uidLastSave="{00000000-0000-0000-0000-000000000000}"/>
  <bookViews>
    <workbookView xWindow="0" yWindow="780" windowWidth="34200" windowHeight="19900" activeTab="1" xr2:uid="{00000000-000D-0000-FFFF-FFFF00000000}"/>
  </bookViews>
  <sheets>
    <sheet name="Release Burndown" sheetId="7" r:id="rId1"/>
    <sheet name="When will it be done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7" l="1"/>
  <c r="K10" i="7"/>
  <c r="J10" i="7"/>
  <c r="I10" i="7"/>
  <c r="G8" i="7"/>
  <c r="H8" i="7" s="1"/>
  <c r="G7" i="7"/>
  <c r="F7" i="7"/>
  <c r="F8" i="4"/>
  <c r="G8" i="4" s="1"/>
  <c r="H7" i="7" l="1"/>
  <c r="I8" i="7"/>
  <c r="H8" i="4"/>
  <c r="I7" i="7" l="1"/>
  <c r="J8" i="7"/>
  <c r="I8" i="4"/>
  <c r="J10" i="4" s="1"/>
  <c r="K10" i="4" s="1"/>
  <c r="L10" i="4" s="1"/>
  <c r="M10" i="4" s="1"/>
  <c r="J7" i="7" l="1"/>
  <c r="K8" i="7"/>
  <c r="K7" i="7" l="1"/>
  <c r="L8" i="7"/>
  <c r="L7" i="7" s="1"/>
</calcChain>
</file>

<file path=xl/sharedStrings.xml><?xml version="1.0" encoding="utf-8"?>
<sst xmlns="http://schemas.openxmlformats.org/spreadsheetml/2006/main" count="37" uniqueCount="24">
  <si>
    <t>Sprint 1</t>
  </si>
  <si>
    <t>Sprint 2</t>
  </si>
  <si>
    <t>Sprint 3</t>
  </si>
  <si>
    <t>Sprint 4</t>
  </si>
  <si>
    <t>Sprint 5</t>
  </si>
  <si>
    <t>Sprint 6</t>
  </si>
  <si>
    <t>Sprint 7</t>
  </si>
  <si>
    <t>Sprint 8</t>
  </si>
  <si>
    <t>Sprint 9</t>
  </si>
  <si>
    <t>Total Completed</t>
  </si>
  <si>
    <t>Aveg Velocity</t>
  </si>
  <si>
    <t>Total Points Remaining</t>
  </si>
  <si>
    <t>Total for Release</t>
  </si>
  <si>
    <t>Story Points completed</t>
  </si>
  <si>
    <t xml:space="preserve">Ideal Trend </t>
  </si>
  <si>
    <t>Sprint 10</t>
  </si>
  <si>
    <t>d</t>
  </si>
  <si>
    <t>Sprint 11</t>
  </si>
  <si>
    <t>Worst case</t>
  </si>
  <si>
    <t>Best Case</t>
  </si>
  <si>
    <t>Most likely</t>
  </si>
  <si>
    <t>MVP Release</t>
  </si>
  <si>
    <t>Story Points Planned</t>
  </si>
  <si>
    <t>Story Points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</si>
</sst>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" fontId="0" fillId="0" borderId="0" xfId="0" applyNumberFormat="1"/>
  </cellXfs>
  <cellStyles count="2">
    <cellStyle name="Normal" xfId="0" builtinId="0"/>
    <cellStyle name="Normal 2" xfId="1" xr:uid="{F5F241BD-FF2D-944E-A1EF-3ED0BF9386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'Release Burndown'!$D$9</c:f>
              <c:strCache>
                <c:ptCount val="1"/>
                <c:pt idx="0">
                  <c:v>Story Points Completed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'Release Burndown'!$E$5:$O$5</c:f>
              <c:strCache>
                <c:ptCount val="11"/>
                <c:pt idx="0">
                  <c:v>0</c:v>
                </c:pt>
                <c:pt idx="1">
                  <c:v>Sprint 1</c:v>
                </c:pt>
                <c:pt idx="2">
                  <c:v>Sprint 2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'Release Burndown'!$E$9:$O$9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20</c:v>
                </c:pt>
                <c:pt idx="5">
                  <c:v>28</c:v>
                </c:pt>
                <c:pt idx="6">
                  <c:v>32</c:v>
                </c:pt>
                <c:pt idx="7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A3-6C4D-A1C9-6D9095C1E6AA}"/>
            </c:ext>
          </c:extLst>
        </c:ser>
        <c:ser>
          <c:idx val="6"/>
          <c:order val="6"/>
          <c:tx>
            <c:strRef>
              <c:f>'Release Burndown'!$D$12</c:f>
              <c:strCache>
                <c:ptCount val="1"/>
                <c:pt idx="0">
                  <c:v>Story Points Planned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'Release Burndown'!$E$5:$O$5</c:f>
              <c:strCache>
                <c:ptCount val="11"/>
                <c:pt idx="0">
                  <c:v>0</c:v>
                </c:pt>
                <c:pt idx="1">
                  <c:v>Sprint 1</c:v>
                </c:pt>
                <c:pt idx="2">
                  <c:v>Sprint 2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'Release Burndown'!$E$12:$O$12</c:f>
              <c:numCache>
                <c:formatCode>General</c:formatCode>
                <c:ptCount val="11"/>
                <c:pt idx="0">
                  <c:v>0</c:v>
                </c:pt>
                <c:pt idx="1">
                  <c:v>22</c:v>
                </c:pt>
                <c:pt idx="2">
                  <c:v>25</c:v>
                </c:pt>
                <c:pt idx="3">
                  <c:v>27</c:v>
                </c:pt>
                <c:pt idx="4">
                  <c:v>22</c:v>
                </c:pt>
                <c:pt idx="5">
                  <c:v>27</c:v>
                </c:pt>
                <c:pt idx="6">
                  <c:v>33</c:v>
                </c:pt>
                <c:pt idx="7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A3-6C4D-A1C9-6D9095C1E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10345247"/>
        <c:axId val="1710345663"/>
      </c:barChart>
      <c:lineChart>
        <c:grouping val="standard"/>
        <c:varyColors val="0"/>
        <c:ser>
          <c:idx val="0"/>
          <c:order val="0"/>
          <c:tx>
            <c:strRef>
              <c:f>'Release Burndown'!$D$6</c:f>
              <c:strCache>
                <c:ptCount val="1"/>
                <c:pt idx="0">
                  <c:v>Total for Release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'Release Burndown'!$E$5:$O$5</c:f>
              <c:strCache>
                <c:ptCount val="11"/>
                <c:pt idx="0">
                  <c:v>0</c:v>
                </c:pt>
                <c:pt idx="1">
                  <c:v>Sprint 1</c:v>
                </c:pt>
                <c:pt idx="2">
                  <c:v>Sprint 2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'Release Burndown'!$E$6:$O$6</c:f>
              <c:numCache>
                <c:formatCode>General</c:formatCode>
                <c:ptCount val="11"/>
                <c:pt idx="0">
                  <c:v>250</c:v>
                </c:pt>
                <c:pt idx="1">
                  <c:v>250</c:v>
                </c:pt>
                <c:pt idx="2">
                  <c:v>275</c:v>
                </c:pt>
                <c:pt idx="3">
                  <c:v>270</c:v>
                </c:pt>
                <c:pt idx="4">
                  <c:v>270</c:v>
                </c:pt>
                <c:pt idx="5">
                  <c:v>270</c:v>
                </c:pt>
                <c:pt idx="6">
                  <c:v>270</c:v>
                </c:pt>
                <c:pt idx="7">
                  <c:v>245</c:v>
                </c:pt>
                <c:pt idx="8">
                  <c:v>245</c:v>
                </c:pt>
                <c:pt idx="9">
                  <c:v>245</c:v>
                </c:pt>
                <c:pt idx="10">
                  <c:v>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A3-6C4D-A1C9-6D9095C1E6AA}"/>
            </c:ext>
          </c:extLst>
        </c:ser>
        <c:ser>
          <c:idx val="1"/>
          <c:order val="1"/>
          <c:tx>
            <c:strRef>
              <c:f>'Release Burndown'!$D$7</c:f>
              <c:strCache>
                <c:ptCount val="1"/>
                <c:pt idx="0">
                  <c:v>Total Points Remaining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'Release Burndown'!$E$5:$O$5</c:f>
              <c:strCache>
                <c:ptCount val="11"/>
                <c:pt idx="0">
                  <c:v>0</c:v>
                </c:pt>
                <c:pt idx="1">
                  <c:v>Sprint 1</c:v>
                </c:pt>
                <c:pt idx="2">
                  <c:v>Sprint 2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'Release Burndown'!$E$7:$O$7</c:f>
              <c:numCache>
                <c:formatCode>General</c:formatCode>
                <c:ptCount val="11"/>
                <c:pt idx="0">
                  <c:v>250</c:v>
                </c:pt>
                <c:pt idx="1">
                  <c:v>230</c:v>
                </c:pt>
                <c:pt idx="2">
                  <c:v>230</c:v>
                </c:pt>
                <c:pt idx="3">
                  <c:v>195</c:v>
                </c:pt>
                <c:pt idx="4">
                  <c:v>175</c:v>
                </c:pt>
                <c:pt idx="5">
                  <c:v>147</c:v>
                </c:pt>
                <c:pt idx="6">
                  <c:v>115</c:v>
                </c:pt>
                <c:pt idx="7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A3-6C4D-A1C9-6D9095C1E6AA}"/>
            </c:ext>
          </c:extLst>
        </c:ser>
        <c:ser>
          <c:idx val="2"/>
          <c:order val="2"/>
          <c:tx>
            <c:strRef>
              <c:f>'Release Burndown'!$D$8</c:f>
              <c:strCache>
                <c:ptCount val="1"/>
                <c:pt idx="0">
                  <c:v>Total Completed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'Release Burndown'!$E$5:$O$5</c:f>
              <c:strCache>
                <c:ptCount val="11"/>
                <c:pt idx="0">
                  <c:v>0</c:v>
                </c:pt>
                <c:pt idx="1">
                  <c:v>Sprint 1</c:v>
                </c:pt>
                <c:pt idx="2">
                  <c:v>Sprint 2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'Release Burndown'!$E$8:$O$8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45</c:v>
                </c:pt>
                <c:pt idx="3">
                  <c:v>75</c:v>
                </c:pt>
                <c:pt idx="4">
                  <c:v>95</c:v>
                </c:pt>
                <c:pt idx="5">
                  <c:v>123</c:v>
                </c:pt>
                <c:pt idx="6">
                  <c:v>155</c:v>
                </c:pt>
                <c:pt idx="7">
                  <c:v>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6A3-6C4D-A1C9-6D9095C1E6AA}"/>
            </c:ext>
          </c:extLst>
        </c:ser>
        <c:ser>
          <c:idx val="5"/>
          <c:order val="5"/>
          <c:tx>
            <c:strRef>
              <c:f>'Release Burndown'!$D$11</c:f>
              <c:strCache>
                <c:ptCount val="1"/>
                <c:pt idx="0">
                  <c:v>Ideal Trend 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1"/>
              <c:layout>
                <c:manualLayout>
                  <c:x val="-1.6194331983805668E-2"/>
                  <c:y val="4.33604150991549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6A3-6C4D-A1C9-6D9095C1E6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'Release Burndown'!$E$5:$O$5</c:f>
              <c:strCache>
                <c:ptCount val="11"/>
                <c:pt idx="0">
                  <c:v>0</c:v>
                </c:pt>
                <c:pt idx="1">
                  <c:v>Sprint 1</c:v>
                </c:pt>
                <c:pt idx="2">
                  <c:v>Sprint 2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'Release Burndown'!$E$11:$O$11</c:f>
              <c:numCache>
                <c:formatCode>General</c:formatCode>
                <c:ptCount val="11"/>
                <c:pt idx="0">
                  <c:v>250</c:v>
                </c:pt>
                <c:pt idx="1">
                  <c:v>225</c:v>
                </c:pt>
                <c:pt idx="2">
                  <c:v>200</c:v>
                </c:pt>
                <c:pt idx="3">
                  <c:v>175</c:v>
                </c:pt>
                <c:pt idx="4">
                  <c:v>150</c:v>
                </c:pt>
                <c:pt idx="5">
                  <c:v>125</c:v>
                </c:pt>
                <c:pt idx="6">
                  <c:v>100</c:v>
                </c:pt>
                <c:pt idx="7">
                  <c:v>75</c:v>
                </c:pt>
                <c:pt idx="8">
                  <c:v>50</c:v>
                </c:pt>
                <c:pt idx="9">
                  <c:v>25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6A3-6C4D-A1C9-6D9095C1E6A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10345247"/>
        <c:axId val="1710345663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'Release Burndown'!$D$10</c15:sqref>
                        </c15:formulaRef>
                      </c:ext>
                    </c:extLst>
                    <c:strCache>
                      <c:ptCount val="1"/>
                      <c:pt idx="0">
                        <c:v>Aveg Velocity</c:v>
                      </c:pt>
                    </c:strCache>
                  </c:strRef>
                </c:tx>
                <c:spPr>
                  <a:ln w="34925" cap="rnd">
                    <a:solidFill>
                      <a:schemeClr val="accent5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ormulaRef>
                          <c15:sqref>'Release Burndown'!$E$5:$O$5</c15:sqref>
                        </c15:formulaRef>
                      </c:ext>
                    </c:extLst>
                    <c:strCache>
                      <c:ptCount val="11"/>
                      <c:pt idx="0">
                        <c:v>0</c:v>
                      </c:pt>
                      <c:pt idx="1">
                        <c:v>Sprint 1</c:v>
                      </c:pt>
                      <c:pt idx="2">
                        <c:v>Sprint 2</c:v>
                      </c:pt>
                      <c:pt idx="3">
                        <c:v>Sprint 3</c:v>
                      </c:pt>
                      <c:pt idx="4">
                        <c:v>Sprint 4</c:v>
                      </c:pt>
                      <c:pt idx="5">
                        <c:v>Sprint 5</c:v>
                      </c:pt>
                      <c:pt idx="6">
                        <c:v>Sprint 6</c:v>
                      </c:pt>
                      <c:pt idx="7">
                        <c:v>Sprint 7</c:v>
                      </c:pt>
                      <c:pt idx="8">
                        <c:v>Sprint 8</c:v>
                      </c:pt>
                      <c:pt idx="9">
                        <c:v>Sprint 9</c:v>
                      </c:pt>
                      <c:pt idx="10">
                        <c:v>Sprint 10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'Release Burndown'!$E$10:$O$10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1">
                        <c:v>20</c:v>
                      </c:pt>
                      <c:pt idx="2">
                        <c:v>23</c:v>
                      </c:pt>
                      <c:pt idx="3">
                        <c:v>25</c:v>
                      </c:pt>
                      <c:pt idx="4">
                        <c:v>25</c:v>
                      </c:pt>
                      <c:pt idx="5">
                        <c:v>26</c:v>
                      </c:pt>
                      <c:pt idx="6" formatCode="0">
                        <c:v>26.666666666666668</c:v>
                      </c:pt>
                      <c:pt idx="7" formatCode="0">
                        <c:v>29.333333333333332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56A3-6C4D-A1C9-6D9095C1E6AA}"/>
                  </c:ext>
                </c:extLst>
              </c15:ser>
            </c15:filteredLineSeries>
          </c:ext>
        </c:extLst>
      </c:lineChart>
      <c:catAx>
        <c:axId val="1710345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345663"/>
        <c:crosses val="autoZero"/>
        <c:auto val="1"/>
        <c:lblAlgn val="ctr"/>
        <c:lblOffset val="100"/>
        <c:noMultiLvlLbl val="0"/>
      </c:catAx>
      <c:valAx>
        <c:axId val="171034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345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710345247"/>
        <c:axId val="1710345663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'When will it be done'!$D$9</c15:sqref>
                        </c15:formulaRef>
                      </c:ext>
                    </c:extLst>
                    <c:strCache>
                      <c:ptCount val="1"/>
                      <c:pt idx="0">
                        <c:v>Story Points completed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05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'When will it be done'!$E$5:$O$5</c15:sqref>
                        </c15:formulaRef>
                      </c:ext>
                    </c:extLst>
                    <c:strCache>
                      <c:ptCount val="11"/>
                      <c:pt idx="0">
                        <c:v>Sprint 1</c:v>
                      </c:pt>
                      <c:pt idx="1">
                        <c:v>Sprint 2</c:v>
                      </c:pt>
                      <c:pt idx="2">
                        <c:v>Sprint 3</c:v>
                      </c:pt>
                      <c:pt idx="3">
                        <c:v>Sprint 4</c:v>
                      </c:pt>
                      <c:pt idx="4">
                        <c:v>Sprint 5</c:v>
                      </c:pt>
                      <c:pt idx="5">
                        <c:v>Sprint 6</c:v>
                      </c:pt>
                      <c:pt idx="6">
                        <c:v>Sprint 7</c:v>
                      </c:pt>
                      <c:pt idx="7">
                        <c:v>Sprint 8</c:v>
                      </c:pt>
                      <c:pt idx="8">
                        <c:v>Sprint 9</c:v>
                      </c:pt>
                      <c:pt idx="9">
                        <c:v>Sprint 10</c:v>
                      </c:pt>
                      <c:pt idx="10">
                        <c:v>Sprint 11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'When will it be done'!$E$9:$O$9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</c:v>
                      </c:pt>
                      <c:pt idx="1">
                        <c:v>25</c:v>
                      </c:pt>
                      <c:pt idx="2">
                        <c:v>30</c:v>
                      </c:pt>
                      <c:pt idx="3">
                        <c:v>20</c:v>
                      </c:pt>
                      <c:pt idx="4">
                        <c:v>28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1ECF-4C06-AC1F-EADE5920D015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'When will it be done'!$D$6</c:f>
              <c:strCache>
                <c:ptCount val="1"/>
                <c:pt idx="0">
                  <c:v>Total for Release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'When will it be done'!$E$5:$O$5</c:f>
              <c:strCache>
                <c:ptCount val="11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  <c:pt idx="8">
                  <c:v>Sprint 9</c:v>
                </c:pt>
                <c:pt idx="9">
                  <c:v>Sprint 10</c:v>
                </c:pt>
                <c:pt idx="10">
                  <c:v>Sprint 11</c:v>
                </c:pt>
              </c:strCache>
            </c:strRef>
          </c:cat>
          <c:val>
            <c:numRef>
              <c:f>'When will it be done'!$E$6:$O$6</c:f>
              <c:numCache>
                <c:formatCode>General</c:formatCode>
                <c:ptCount val="11"/>
                <c:pt idx="0">
                  <c:v>250</c:v>
                </c:pt>
                <c:pt idx="1">
                  <c:v>275</c:v>
                </c:pt>
                <c:pt idx="2">
                  <c:v>270</c:v>
                </c:pt>
                <c:pt idx="3">
                  <c:v>270</c:v>
                </c:pt>
                <c:pt idx="4">
                  <c:v>270</c:v>
                </c:pt>
                <c:pt idx="5">
                  <c:v>270</c:v>
                </c:pt>
                <c:pt idx="6">
                  <c:v>245</c:v>
                </c:pt>
                <c:pt idx="7">
                  <c:v>245</c:v>
                </c:pt>
                <c:pt idx="8">
                  <c:v>245</c:v>
                </c:pt>
                <c:pt idx="9">
                  <c:v>245</c:v>
                </c:pt>
                <c:pt idx="10">
                  <c:v>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CF-4C06-AC1F-EADE5920D015}"/>
            </c:ext>
          </c:extLst>
        </c:ser>
        <c:ser>
          <c:idx val="1"/>
          <c:order val="1"/>
          <c:tx>
            <c:strRef>
              <c:f>'When will it be done'!$D$7</c:f>
              <c:strCache>
                <c:ptCount val="1"/>
                <c:pt idx="0">
                  <c:v>Best Case</c:v>
                </c:pt>
              </c:strCache>
            </c:strRef>
          </c:tx>
          <c:spPr>
            <a:ln w="34925" cap="rnd">
              <a:solidFill>
                <a:schemeClr val="accent2"/>
              </a:solidFill>
              <a:prstDash val="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elete val="1"/>
          </c:dLbls>
          <c:cat>
            <c:strRef>
              <c:f>'When will it be done'!$E$5:$O$5</c:f>
              <c:strCache>
                <c:ptCount val="11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  <c:pt idx="8">
                  <c:v>Sprint 9</c:v>
                </c:pt>
                <c:pt idx="9">
                  <c:v>Sprint 10</c:v>
                </c:pt>
                <c:pt idx="10">
                  <c:v>Sprint 11</c:v>
                </c:pt>
              </c:strCache>
            </c:strRef>
          </c:cat>
          <c:val>
            <c:numRef>
              <c:f>'When will it be done'!$E$7:$O$7</c:f>
              <c:numCache>
                <c:formatCode>General</c:formatCode>
                <c:ptCount val="11"/>
                <c:pt idx="5">
                  <c:v>151</c:v>
                </c:pt>
                <c:pt idx="6">
                  <c:v>195</c:v>
                </c:pt>
                <c:pt idx="7">
                  <c:v>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CF-4C06-AC1F-EADE5920D015}"/>
            </c:ext>
          </c:extLst>
        </c:ser>
        <c:ser>
          <c:idx val="2"/>
          <c:order val="2"/>
          <c:tx>
            <c:strRef>
              <c:f>'When will it be done'!$D$8</c:f>
              <c:strCache>
                <c:ptCount val="1"/>
                <c:pt idx="0">
                  <c:v>Total Completed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elete val="1"/>
          </c:dLbls>
          <c:cat>
            <c:strRef>
              <c:f>'When will it be done'!$E$5:$O$5</c:f>
              <c:strCache>
                <c:ptCount val="11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  <c:pt idx="8">
                  <c:v>Sprint 9</c:v>
                </c:pt>
                <c:pt idx="9">
                  <c:v>Sprint 10</c:v>
                </c:pt>
                <c:pt idx="10">
                  <c:v>Sprint 11</c:v>
                </c:pt>
              </c:strCache>
            </c:strRef>
          </c:cat>
          <c:val>
            <c:numRef>
              <c:f>'When will it be done'!$E$8:$O$8</c:f>
              <c:numCache>
                <c:formatCode>General</c:formatCode>
                <c:ptCount val="11"/>
                <c:pt idx="0">
                  <c:v>20</c:v>
                </c:pt>
                <c:pt idx="1">
                  <c:v>45</c:v>
                </c:pt>
                <c:pt idx="2">
                  <c:v>75</c:v>
                </c:pt>
                <c:pt idx="3">
                  <c:v>95</c:v>
                </c:pt>
                <c:pt idx="4">
                  <c:v>123</c:v>
                </c:pt>
                <c:pt idx="5">
                  <c:v>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ECF-4C06-AC1F-EADE5920D015}"/>
            </c:ext>
          </c:extLst>
        </c:ser>
        <c:ser>
          <c:idx val="4"/>
          <c:order val="4"/>
          <c:tx>
            <c:strRef>
              <c:f>'When will it be done'!$D$10</c:f>
              <c:strCache>
                <c:ptCount val="1"/>
                <c:pt idx="0">
                  <c:v>Most likely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'When will it be done'!$E$5:$O$5</c:f>
              <c:strCache>
                <c:ptCount val="11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  <c:pt idx="8">
                  <c:v>Sprint 9</c:v>
                </c:pt>
                <c:pt idx="9">
                  <c:v>Sprint 10</c:v>
                </c:pt>
                <c:pt idx="10">
                  <c:v>Sprint 11</c:v>
                </c:pt>
              </c:strCache>
            </c:strRef>
          </c:cat>
          <c:val>
            <c:numRef>
              <c:f>'When will it be done'!$E$10:$O$10</c:f>
              <c:numCache>
                <c:formatCode>General</c:formatCode>
                <c:ptCount val="11"/>
                <c:pt idx="5" formatCode="0">
                  <c:v>151</c:v>
                </c:pt>
                <c:pt idx="6" formatCode="0">
                  <c:v>179</c:v>
                </c:pt>
                <c:pt idx="7" formatCode="0">
                  <c:v>210</c:v>
                </c:pt>
                <c:pt idx="8" formatCode="0">
                  <c:v>240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1ECF-4C06-AC1F-EADE5920D015}"/>
            </c:ext>
          </c:extLst>
        </c:ser>
        <c:ser>
          <c:idx val="5"/>
          <c:order val="5"/>
          <c:tx>
            <c:strRef>
              <c:f>'When will it be done'!$D$11</c:f>
              <c:strCache>
                <c:ptCount val="1"/>
                <c:pt idx="0">
                  <c:v>Worst case</c:v>
                </c:pt>
              </c:strCache>
            </c:strRef>
          </c:tx>
          <c:spPr>
            <a:ln w="34925" cap="rnd">
              <a:solidFill>
                <a:schemeClr val="accent6"/>
              </a:solidFill>
              <a:prstDash val="sys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elete val="1"/>
          </c:dLbls>
          <c:cat>
            <c:strRef>
              <c:f>'When will it be done'!$E$5:$O$5</c:f>
              <c:strCache>
                <c:ptCount val="11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  <c:pt idx="8">
                  <c:v>Sprint 9</c:v>
                </c:pt>
                <c:pt idx="9">
                  <c:v>Sprint 10</c:v>
                </c:pt>
                <c:pt idx="10">
                  <c:v>Sprint 11</c:v>
                </c:pt>
              </c:strCache>
            </c:strRef>
          </c:cat>
          <c:val>
            <c:numRef>
              <c:f>'When will it be done'!$E$11:$O$11</c:f>
              <c:numCache>
                <c:formatCode>General</c:formatCode>
                <c:ptCount val="11"/>
                <c:pt idx="5">
                  <c:v>151</c:v>
                </c:pt>
                <c:pt idx="6">
                  <c:v>165</c:v>
                </c:pt>
                <c:pt idx="7">
                  <c:v>180</c:v>
                </c:pt>
                <c:pt idx="8">
                  <c:v>195</c:v>
                </c:pt>
                <c:pt idx="9">
                  <c:v>215</c:v>
                </c:pt>
                <c:pt idx="10">
                  <c:v>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ECF-4C06-AC1F-EADE5920D015}"/>
            </c:ext>
          </c:extLst>
        </c:ser>
        <c:ser>
          <c:idx val="6"/>
          <c:order val="6"/>
          <c:tx>
            <c:strRef>
              <c:f>'When will it be done'!$D$12</c:f>
              <c:strCache>
                <c:ptCount val="1"/>
                <c:pt idx="0">
                  <c:v>MVP Release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'When will it be done'!$E$5:$O$5</c:f>
              <c:strCache>
                <c:ptCount val="11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  <c:pt idx="8">
                  <c:v>Sprint 9</c:v>
                </c:pt>
                <c:pt idx="9">
                  <c:v>Sprint 10</c:v>
                </c:pt>
                <c:pt idx="10">
                  <c:v>Sprint 11</c:v>
                </c:pt>
              </c:strCache>
            </c:strRef>
          </c:cat>
          <c:val>
            <c:numRef>
              <c:f>'When will it be done'!$E$12:$O$12</c:f>
              <c:numCache>
                <c:formatCode>General</c:formatCode>
                <c:ptCount val="1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62-4240-97CD-57F7DEE1739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10345247"/>
        <c:axId val="1710345663"/>
        <c:extLst/>
      </c:lineChart>
      <c:catAx>
        <c:axId val="1710345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345663"/>
        <c:crosses val="autoZero"/>
        <c:auto val="1"/>
        <c:lblAlgn val="ctr"/>
        <c:lblOffset val="100"/>
        <c:noMultiLvlLbl val="0"/>
      </c:catAx>
      <c:valAx>
        <c:axId val="171034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345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203200</xdr:colOff>
      <xdr:row>15</xdr:row>
      <xdr:rowOff>25400</xdr:rowOff>
    </xdr:from>
    <xdr:to>
      <xdr:col>13</xdr:col>
      <xdr:colOff>412750</xdr:colOff>
      <xdr:row>39</xdr:row>
      <xdr:rowOff>139702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6C0BA7A-49D6-0946-881C-F9A4409243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565150</xdr:colOff>
      <xdr:row>14</xdr:row>
      <xdr:rowOff>38098</xdr:rowOff>
    </xdr:from>
    <xdr:to>
      <xdr:col>12</xdr:col>
      <xdr:colOff>469900</xdr:colOff>
      <xdr:row>35</xdr:row>
      <xdr:rowOff>165099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E8A68-A360-1344-957B-DEBE24D8F32E}">
  <dimension ref="D5:O12"/>
  <sheetViews>
    <sheetView workbookViewId="0">
      <selection activeCell="G199" sqref="G199"/>
    </sheetView>
  </sheetViews>
  <sheetFormatPr baseColWidth="10" defaultColWidth="8.83203125" defaultRowHeight="15" x14ac:dyDescent="0.2"/>
  <cols>
    <col min="4" max="4" width="21.6640625" bestFit="1" customWidth="1"/>
    <col min="5" max="5" width="11.83203125" customWidth="1"/>
  </cols>
  <sheetData>
    <row r="5" spans="4:15" x14ac:dyDescent="0.2">
      <c r="E5">
        <v>0</v>
      </c>
      <c r="F5" t="s">
        <v>0</v>
      </c>
      <c r="G5" t="s">
        <v>1</v>
      </c>
      <c r="H5" t="s">
        <v>2</v>
      </c>
      <c r="I5" t="s">
        <v>3</v>
      </c>
      <c r="J5" t="s">
        <v>4</v>
      </c>
      <c r="K5" t="s">
        <v>5</v>
      </c>
      <c r="L5" t="s">
        <v>6</v>
      </c>
      <c r="M5" t="s">
        <v>7</v>
      </c>
      <c r="N5" t="s">
        <v>8</v>
      </c>
      <c r="O5" t="s">
        <v>15</v>
      </c>
    </row>
    <row r="6" spans="4:15" x14ac:dyDescent="0.2">
      <c r="D6" t="s">
        <v>12</v>
      </c>
      <c r="E6">
        <v>250</v>
      </c>
      <c r="F6">
        <v>250</v>
      </c>
      <c r="G6">
        <v>275</v>
      </c>
      <c r="H6">
        <v>270</v>
      </c>
      <c r="I6">
        <v>270</v>
      </c>
      <c r="J6">
        <v>270</v>
      </c>
      <c r="K6">
        <v>270</v>
      </c>
      <c r="L6">
        <v>245</v>
      </c>
      <c r="M6">
        <v>245</v>
      </c>
      <c r="N6">
        <v>245</v>
      </c>
      <c r="O6">
        <v>245</v>
      </c>
    </row>
    <row r="7" spans="4:15" x14ac:dyDescent="0.2">
      <c r="D7" t="s">
        <v>11</v>
      </c>
      <c r="E7">
        <v>250</v>
      </c>
      <c r="F7">
        <f t="shared" ref="F7:L7" si="0">F6-F8</f>
        <v>230</v>
      </c>
      <c r="G7">
        <f t="shared" si="0"/>
        <v>230</v>
      </c>
      <c r="H7">
        <f t="shared" si="0"/>
        <v>195</v>
      </c>
      <c r="I7">
        <f t="shared" si="0"/>
        <v>175</v>
      </c>
      <c r="J7">
        <f t="shared" si="0"/>
        <v>147</v>
      </c>
      <c r="K7">
        <f t="shared" si="0"/>
        <v>115</v>
      </c>
      <c r="L7">
        <f t="shared" si="0"/>
        <v>62</v>
      </c>
    </row>
    <row r="8" spans="4:15" x14ac:dyDescent="0.2">
      <c r="D8" t="s">
        <v>9</v>
      </c>
      <c r="E8">
        <v>0</v>
      </c>
      <c r="F8">
        <v>20</v>
      </c>
      <c r="G8">
        <f>F8+G9</f>
        <v>45</v>
      </c>
      <c r="H8">
        <f t="shared" ref="H8:L8" si="1">G8+H9</f>
        <v>75</v>
      </c>
      <c r="I8">
        <f t="shared" si="1"/>
        <v>95</v>
      </c>
      <c r="J8">
        <f t="shared" si="1"/>
        <v>123</v>
      </c>
      <c r="K8">
        <f t="shared" si="1"/>
        <v>155</v>
      </c>
      <c r="L8">
        <f t="shared" si="1"/>
        <v>183</v>
      </c>
    </row>
    <row r="9" spans="4:15" x14ac:dyDescent="0.2">
      <c r="D9" t="s">
        <v>23</v>
      </c>
      <c r="E9">
        <v>0</v>
      </c>
      <c r="F9">
        <v>20</v>
      </c>
      <c r="G9">
        <v>25</v>
      </c>
      <c r="H9">
        <v>30</v>
      </c>
      <c r="I9">
        <v>20</v>
      </c>
      <c r="J9">
        <v>28</v>
      </c>
      <c r="K9">
        <v>32</v>
      </c>
      <c r="L9">
        <v>28</v>
      </c>
    </row>
    <row r="10" spans="4:15" x14ac:dyDescent="0.2">
      <c r="D10" t="s">
        <v>10</v>
      </c>
      <c r="F10">
        <v>20</v>
      </c>
      <c r="G10">
        <v>23</v>
      </c>
      <c r="H10">
        <v>25</v>
      </c>
      <c r="I10">
        <f>AVERAGE(G9:I9)</f>
        <v>25</v>
      </c>
      <c r="J10">
        <f>AVERAGE(H9:J9)</f>
        <v>26</v>
      </c>
      <c r="K10" s="1">
        <f>AVERAGE(I9:K9)</f>
        <v>26.666666666666668</v>
      </c>
      <c r="L10" s="1">
        <f>AVERAGE(J9:L9)</f>
        <v>29.333333333333332</v>
      </c>
    </row>
    <row r="11" spans="4:15" x14ac:dyDescent="0.2">
      <c r="D11" t="s">
        <v>14</v>
      </c>
      <c r="E11">
        <v>250</v>
      </c>
      <c r="F11">
        <v>225</v>
      </c>
      <c r="G11">
        <v>200</v>
      </c>
      <c r="H11">
        <v>175</v>
      </c>
      <c r="I11">
        <v>150</v>
      </c>
      <c r="J11">
        <v>125</v>
      </c>
      <c r="K11">
        <v>100</v>
      </c>
      <c r="L11">
        <v>75</v>
      </c>
      <c r="M11">
        <v>50</v>
      </c>
      <c r="N11">
        <v>25</v>
      </c>
      <c r="O11">
        <v>0</v>
      </c>
    </row>
    <row r="12" spans="4:15" x14ac:dyDescent="0.2">
      <c r="D12" t="s">
        <v>22</v>
      </c>
      <c r="E12">
        <v>0</v>
      </c>
      <c r="F12">
        <v>22</v>
      </c>
      <c r="G12">
        <v>25</v>
      </c>
      <c r="H12">
        <v>27</v>
      </c>
      <c r="I12">
        <v>22</v>
      </c>
      <c r="J12">
        <v>27</v>
      </c>
      <c r="K12">
        <v>33</v>
      </c>
      <c r="L12">
        <v>28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O12"/>
  <sheetViews>
    <sheetView tabSelected="1" workbookViewId="0">
      <selection activeCell="R27" sqref="R27"/>
    </sheetView>
  </sheetViews>
  <sheetFormatPr baseColWidth="10" defaultColWidth="8.83203125" defaultRowHeight="15" x14ac:dyDescent="0.2"/>
  <cols>
    <col min="4" max="4" width="21.6640625" bestFit="1" customWidth="1"/>
  </cols>
  <sheetData>
    <row r="5" spans="3:15" x14ac:dyDescent="0.2">
      <c r="E5" t="s">
        <v>0</v>
      </c>
      <c r="F5" t="s">
        <v>1</v>
      </c>
      <c r="G5" t="s">
        <v>2</v>
      </c>
      <c r="H5" t="s">
        <v>3</v>
      </c>
      <c r="I5" t="s">
        <v>4</v>
      </c>
      <c r="J5" t="s">
        <v>5</v>
      </c>
      <c r="K5" t="s">
        <v>6</v>
      </c>
      <c r="L5" t="s">
        <v>7</v>
      </c>
      <c r="M5" t="s">
        <v>8</v>
      </c>
      <c r="N5" t="s">
        <v>15</v>
      </c>
      <c r="O5" t="s">
        <v>17</v>
      </c>
    </row>
    <row r="6" spans="3:15" x14ac:dyDescent="0.2">
      <c r="D6" t="s">
        <v>12</v>
      </c>
      <c r="E6">
        <v>250</v>
      </c>
      <c r="F6">
        <v>275</v>
      </c>
      <c r="G6">
        <v>270</v>
      </c>
      <c r="H6">
        <v>270</v>
      </c>
      <c r="I6">
        <v>270</v>
      </c>
      <c r="J6">
        <v>270</v>
      </c>
      <c r="K6">
        <v>245</v>
      </c>
      <c r="L6">
        <v>245</v>
      </c>
      <c r="M6">
        <v>245</v>
      </c>
      <c r="N6">
        <v>245</v>
      </c>
      <c r="O6">
        <v>245</v>
      </c>
    </row>
    <row r="7" spans="3:15" x14ac:dyDescent="0.2">
      <c r="C7" t="s">
        <v>16</v>
      </c>
      <c r="D7" t="s">
        <v>19</v>
      </c>
      <c r="J7">
        <v>151</v>
      </c>
      <c r="K7">
        <v>195</v>
      </c>
      <c r="L7">
        <v>240</v>
      </c>
    </row>
    <row r="8" spans="3:15" x14ac:dyDescent="0.2">
      <c r="D8" t="s">
        <v>9</v>
      </c>
      <c r="E8">
        <v>20</v>
      </c>
      <c r="F8">
        <f>E8+F9</f>
        <v>45</v>
      </c>
      <c r="G8">
        <f t="shared" ref="G8:I8" si="0">F8+G9</f>
        <v>75</v>
      </c>
      <c r="H8">
        <f t="shared" si="0"/>
        <v>95</v>
      </c>
      <c r="I8">
        <f t="shared" si="0"/>
        <v>123</v>
      </c>
      <c r="J8">
        <v>151</v>
      </c>
    </row>
    <row r="9" spans="3:15" x14ac:dyDescent="0.2">
      <c r="C9" t="s">
        <v>16</v>
      </c>
      <c r="D9" t="s">
        <v>13</v>
      </c>
      <c r="E9">
        <v>20</v>
      </c>
      <c r="F9">
        <v>25</v>
      </c>
      <c r="G9">
        <v>30</v>
      </c>
      <c r="H9">
        <v>20</v>
      </c>
      <c r="I9">
        <v>28</v>
      </c>
    </row>
    <row r="10" spans="3:15" x14ac:dyDescent="0.2">
      <c r="D10" t="s">
        <v>20</v>
      </c>
      <c r="J10" s="1">
        <f>I8+28</f>
        <v>151</v>
      </c>
      <c r="K10" s="1">
        <f>J10+28</f>
        <v>179</v>
      </c>
      <c r="L10" s="1">
        <f>K10+31</f>
        <v>210</v>
      </c>
      <c r="M10" s="1">
        <f>L10+30</f>
        <v>240</v>
      </c>
    </row>
    <row r="11" spans="3:15" x14ac:dyDescent="0.2">
      <c r="D11" t="s">
        <v>18</v>
      </c>
      <c r="J11">
        <v>151</v>
      </c>
      <c r="K11">
        <v>165</v>
      </c>
      <c r="L11">
        <v>180</v>
      </c>
      <c r="M11">
        <v>195</v>
      </c>
      <c r="N11">
        <v>215</v>
      </c>
      <c r="O11">
        <v>240</v>
      </c>
    </row>
    <row r="12" spans="3:15" x14ac:dyDescent="0.2">
      <c r="D12" t="s">
        <v>21</v>
      </c>
      <c r="E12">
        <v>100</v>
      </c>
      <c r="F12">
        <v>100</v>
      </c>
      <c r="G12">
        <v>100</v>
      </c>
      <c r="H12">
        <v>100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5EC4FAED17FD4FA002B715A7CB3129" ma:contentTypeVersion="20" ma:contentTypeDescription="Create a new document." ma:contentTypeScope="" ma:versionID="bd97094569bc3b39987040056287c8be">
  <xsd:schema xmlns:xsd="http://www.w3.org/2001/XMLSchema" xmlns:xs="http://www.w3.org/2001/XMLSchema" xmlns:p="http://schemas.microsoft.com/office/2006/metadata/properties" xmlns:ns2="92e4be8c-5aca-45ec-8e17-deab1f90d7c8" xmlns:ns3="92b31412-8c8f-44f1-a883-141cef3f34cc" targetNamespace="http://schemas.microsoft.com/office/2006/metadata/properties" ma:root="true" ma:fieldsID="34257c32d55561fea897e60b1a3f7010" ns2:_="" ns3:_="">
    <xsd:import namespace="92e4be8c-5aca-45ec-8e17-deab1f90d7c8"/>
    <xsd:import namespace="92b31412-8c8f-44f1-a883-141cef3f34c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Duratio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e4be8c-5aca-45ec-8e17-deab1f90d7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795d2f5-1cbf-45cb-9409-0dc909a94953}" ma:internalName="TaxCatchAll" ma:showField="CatchAllData" ma:web="92e4be8c-5aca-45ec-8e17-deab1f90d7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31412-8c8f-44f1-a883-141cef3f3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uration" ma:index="19" nillable="true" ma:displayName="Duration" ma:internalName="Duration">
      <xsd:simpleType>
        <xsd:restriction base="dms:Text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4206cbd-ed67-49c0-b8a0-af32ee4f26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b31412-8c8f-44f1-a883-141cef3f34cc">
      <Terms xmlns="http://schemas.microsoft.com/office/infopath/2007/PartnerControls"/>
    </lcf76f155ced4ddcb4097134ff3c332f>
    <TaxCatchAll xmlns="92e4be8c-5aca-45ec-8e17-deab1f90d7c8" xsi:nil="true"/>
    <Duration xmlns="92b31412-8c8f-44f1-a883-141cef3f34cc" xsi:nil="true"/>
  </documentManagement>
</p:properties>
</file>

<file path=customXml/itemProps1.xml><?xml version="1.0" encoding="utf-8"?>
<ds:datastoreItem xmlns:ds="http://schemas.openxmlformats.org/officeDocument/2006/customXml" ds:itemID="{222B9AD0-AF3A-46AE-AF4A-454333679971}"/>
</file>

<file path=customXml/itemProps2.xml><?xml version="1.0" encoding="utf-8"?>
<ds:datastoreItem xmlns:ds="http://schemas.openxmlformats.org/officeDocument/2006/customXml" ds:itemID="{18E36511-A12D-474F-9ACB-82D6B497E35C}"/>
</file>

<file path=customXml/itemProps3.xml><?xml version="1.0" encoding="utf-8"?>
<ds:datastoreItem xmlns:ds="http://schemas.openxmlformats.org/officeDocument/2006/customXml" ds:itemID="{3BF0E6C5-B3F8-4357-8F7A-33DFAED68F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Release Burndown</vt:lpstr>
      <vt:lpstr>When will it be done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Burndown Chart</dc:subject>
  <dc:creator>Admin;rahultvp@gmail.com</dc:creator>
  <cp:keywords/>
  <dc:description/>
  <cp:lastModifiedBy>rahulshah.ct</cp:lastModifiedBy>
  <dcterms:created xsi:type="dcterms:W3CDTF">2021-02-13T08:55:28Z</dcterms:created>
  <dcterms:modified xsi:type="dcterms:W3CDTF">2025-03-23T13:54:48Z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0x010100AF5EC4FAED17FD4FA002B715A7CB3129</vt:lpwstr>
  </property>
  <property fmtid="{D5CDD505-2E9C-101B-9397-08002B2CF9AE}" pid="3" name="Order">
    <vt:r8>2495700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</Properties>
</file>